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3.xml.rels" ContentType="application/vnd.openxmlformats-package.relationships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Atal" sheetId="1" state="visible" r:id="rId2"/>
    <sheet name="Develia" sheetId="2" state="visible" r:id="rId3"/>
    <sheet name="Dom" sheetId="3" state="visible" r:id="rId4"/>
    <sheet name="Działki" sheetId="4" state="visible" r:id="rId5"/>
    <sheet name="Sprzedaż" sheetId="5" state="visible" r:id="rId6"/>
    <sheet name="Oferta" sheetId="6" state="visible" r:id="rId7"/>
    <sheet name="Coverage" sheetId="7" state="visible" r:id="rId8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<sst xmlns="http://schemas.openxmlformats.org/spreadsheetml/2006/main" count="415" uniqueCount="218">
  <si>
    <t xml:space="preserve">Projekt</t>
  </si>
  <si>
    <t xml:space="preserve">Miasto</t>
  </si>
  <si>
    <t xml:space="preserve">Dzielnica</t>
  </si>
  <si>
    <t xml:space="preserve">Ulica</t>
  </si>
  <si>
    <t xml:space="preserve">Cena od</t>
  </si>
  <si>
    <t xml:space="preserve">Sprzedaż od</t>
  </si>
  <si>
    <t xml:space="preserve">Termin odbiorów</t>
  </si>
  <si>
    <t xml:space="preserve">Etap</t>
  </si>
  <si>
    <t xml:space="preserve">Liczba mieszkań</t>
  </si>
  <si>
    <t xml:space="preserve">Dostępne</t>
  </si>
  <si>
    <t xml:space="preserve">Liczba uslugowych</t>
  </si>
  <si>
    <t xml:space="preserve">Sprzedane</t>
  </si>
  <si>
    <t xml:space="preserve">Powierzchnia min.</t>
  </si>
  <si>
    <t xml:space="preserve">Powierzchnia max.</t>
  </si>
  <si>
    <t xml:space="preserve">Sprzedaż 1 kw. 2025</t>
  </si>
  <si>
    <t xml:space="preserve">Sprzedaż 2 kw. 2025</t>
  </si>
  <si>
    <t xml:space="preserve">Sprzedaż 3 kw. 2025</t>
  </si>
  <si>
    <t xml:space="preserve">Przekazane 1 kw. 2025</t>
  </si>
  <si>
    <t xml:space="preserve">Przekazane 2 kw. 2025</t>
  </si>
  <si>
    <t xml:space="preserve">Przekazane 3 kw. 2025</t>
  </si>
  <si>
    <t xml:space="preserve">URL</t>
  </si>
  <si>
    <t xml:space="preserve">Osiedle przy Wielickiej</t>
  </si>
  <si>
    <t xml:space="preserve">Kraków</t>
  </si>
  <si>
    <t xml:space="preserve">Bieżanów-Prokocim</t>
  </si>
  <si>
    <t xml:space="preserve">Marii Orwid</t>
  </si>
  <si>
    <t xml:space="preserve">3 kw. 2025</t>
  </si>
  <si>
    <t xml:space="preserve">3 kw. 2027</t>
  </si>
  <si>
    <t xml:space="preserve">Osiedle 29. Aleja</t>
  </si>
  <si>
    <t xml:space="preserve">Stare Miasto</t>
  </si>
  <si>
    <t xml:space="preserve">Prandoty</t>
  </si>
  <si>
    <t xml:space="preserve">3 kw. 2026</t>
  </si>
  <si>
    <t xml:space="preserve">1 kw. 2027</t>
  </si>
  <si>
    <t xml:space="preserve">Osiedle Górka Narodowa</t>
  </si>
  <si>
    <t xml:space="preserve">Prądnik Biały</t>
  </si>
  <si>
    <t xml:space="preserve">Andrzeja Zauchy</t>
  </si>
  <si>
    <t xml:space="preserve">4 kw. 2025</t>
  </si>
  <si>
    <t xml:space="preserve">Apartamenty Park Matecznego</t>
  </si>
  <si>
    <t xml:space="preserve">Podgórze</t>
  </si>
  <si>
    <t xml:space="preserve">Rydlówka</t>
  </si>
  <si>
    <t xml:space="preserve">1 kw. 2026</t>
  </si>
  <si>
    <t xml:space="preserve">Osiedle przy Malborskiej</t>
  </si>
  <si>
    <t xml:space="preserve">Podgórze Duchackie</t>
  </si>
  <si>
    <t xml:space="preserve">Malborska</t>
  </si>
  <si>
    <t xml:space="preserve">Osiedle Myśliborska</t>
  </si>
  <si>
    <t xml:space="preserve">Warszawa</t>
  </si>
  <si>
    <t xml:space="preserve">Białołęka</t>
  </si>
  <si>
    <t xml:space="preserve">Myśliborska</t>
  </si>
  <si>
    <t xml:space="preserve">Apartamenty Grzybowska 11</t>
  </si>
  <si>
    <t xml:space="preserve">Śródmieście</t>
  </si>
  <si>
    <t xml:space="preserve">Grzybowska</t>
  </si>
  <si>
    <t xml:space="preserve">Osiedle Wilno</t>
  </si>
  <si>
    <t xml:space="preserve">Targówek</t>
  </si>
  <si>
    <t xml:space="preserve">Wierna</t>
  </si>
  <si>
    <t xml:space="preserve">4 kw. 2024</t>
  </si>
  <si>
    <t xml:space="preserve">Kolejny</t>
  </si>
  <si>
    <t xml:space="preserve">4 kw. 2026</t>
  </si>
  <si>
    <t xml:space="preserve">Mokotów Sportowy</t>
  </si>
  <si>
    <t xml:space="preserve">Mokotów</t>
  </si>
  <si>
    <t xml:space="preserve">Antoniewska</t>
  </si>
  <si>
    <t xml:space="preserve">2 kw. 2025</t>
  </si>
  <si>
    <t xml:space="preserve">Osiedle Bokserska 71</t>
  </si>
  <si>
    <t xml:space="preserve">Ursynów</t>
  </si>
  <si>
    <t xml:space="preserve">Bokserska</t>
  </si>
  <si>
    <t xml:space="preserve">Dzielnica Mieszkaniowa Metro Zachód</t>
  </si>
  <si>
    <t xml:space="preserve">Bemowo</t>
  </si>
  <si>
    <t xml:space="preserve">Lazurowa</t>
  </si>
  <si>
    <t xml:space="preserve">Osiedle Harmonia Mokotów</t>
  </si>
  <si>
    <t xml:space="preserve">Polski Walczącej</t>
  </si>
  <si>
    <t xml:space="preserve">Apartamenty Literacka</t>
  </si>
  <si>
    <t xml:space="preserve">Bielany</t>
  </si>
  <si>
    <t xml:space="preserve">Literacka</t>
  </si>
  <si>
    <t xml:space="preserve">Osiedle przy Alejach</t>
  </si>
  <si>
    <t xml:space="preserve">Włochy</t>
  </si>
  <si>
    <t xml:space="preserve">Al. Jerozolimskie</t>
  </si>
  <si>
    <t xml:space="preserve">Osiedle Urbino</t>
  </si>
  <si>
    <t xml:space="preserve">Równolegla</t>
  </si>
  <si>
    <t xml:space="preserve">1 kw. 2025</t>
  </si>
  <si>
    <t xml:space="preserve">Apartamenty Beethovena</t>
  </si>
  <si>
    <t xml:space="preserve">Dziekońskiego</t>
  </si>
  <si>
    <t xml:space="preserve">https://www.domd.pl/pl-pl/warszawa/lista-inwestycji/apartamenty-beethovena?tabInTabs=1&amp;city=warszawa&amp;viewType=list</t>
  </si>
  <si>
    <t xml:space="preserve">Apartamenty Rudnickiego</t>
  </si>
  <si>
    <t xml:space="preserve">Rudnickiego</t>
  </si>
  <si>
    <t xml:space="preserve">Osiedle przy Ryżowej</t>
  </si>
  <si>
    <t xml:space="preserve">Ursus</t>
  </si>
  <si>
    <t xml:space="preserve">Ryżowa</t>
  </si>
  <si>
    <t xml:space="preserve">Osiedle przy Forcie</t>
  </si>
  <si>
    <t xml:space="preserve">Przy Forcie</t>
  </si>
  <si>
    <t xml:space="preserve">Doki Living</t>
  </si>
  <si>
    <t xml:space="preserve">Trójmiasto</t>
  </si>
  <si>
    <t xml:space="preserve">Gdańsk Śródmieście</t>
  </si>
  <si>
    <t xml:space="preserve">Popiełuszki</t>
  </si>
  <si>
    <t xml:space="preserve">2 kw. 2027</t>
  </si>
  <si>
    <t xml:space="preserve">Esencja na Dolnym (PPP)</t>
  </si>
  <si>
    <t xml:space="preserve">Gdańsk Dolne Miasto</t>
  </si>
  <si>
    <t xml:space="preserve">Kamienna</t>
  </si>
  <si>
    <t xml:space="preserve">Osiedle Warszawska</t>
  </si>
  <si>
    <t xml:space="preserve">Gdańsk Ujeścicko</t>
  </si>
  <si>
    <t xml:space="preserve">Warszawska</t>
  </si>
  <si>
    <t xml:space="preserve">Przystań Brzeźno</t>
  </si>
  <si>
    <t xml:space="preserve">Gdańsk Brzeźno</t>
  </si>
  <si>
    <t xml:space="preserve">Uczniowska</t>
  </si>
  <si>
    <t xml:space="preserve">Jaskółcza na Dolnym (PPP)</t>
  </si>
  <si>
    <t xml:space="preserve">Jaskółcza</t>
  </si>
  <si>
    <t xml:space="preserve">Wzgórze Hoplity</t>
  </si>
  <si>
    <t xml:space="preserve">Gdańsk Zabornia</t>
  </si>
  <si>
    <t xml:space="preserve">Kartuska</t>
  </si>
  <si>
    <t xml:space="preserve">Osiedle Synteza</t>
  </si>
  <si>
    <t xml:space="preserve">Gdańsk Piecki-Migowo</t>
  </si>
  <si>
    <t xml:space="preserve">Piekarnicza</t>
  </si>
  <si>
    <t xml:space="preserve">Osiedle Lema</t>
  </si>
  <si>
    <t xml:space="preserve">Perspektywa</t>
  </si>
  <si>
    <t xml:space="preserve">Gdańsk Centrum</t>
  </si>
  <si>
    <t xml:space="preserve">Powstańców Warszawskich</t>
  </si>
  <si>
    <t xml:space="preserve">Zajezdnia Motława</t>
  </si>
  <si>
    <t xml:space="preserve">Kurza</t>
  </si>
  <si>
    <t xml:space="preserve">Leśna Góra</t>
  </si>
  <si>
    <t xml:space="preserve">Gdańsk Niedźwiednik</t>
  </si>
  <si>
    <t xml:space="preserve">Konstelacja</t>
  </si>
  <si>
    <t xml:space="preserve">Pogórze</t>
  </si>
  <si>
    <t xml:space="preserve">Paderewskiego</t>
  </si>
  <si>
    <t xml:space="preserve">Widoki</t>
  </si>
  <si>
    <t xml:space="preserve">Rumia Zagórze</t>
  </si>
  <si>
    <t xml:space="preserve">Wyżynna</t>
  </si>
  <si>
    <t xml:space="preserve">Locus 2</t>
  </si>
  <si>
    <t xml:space="preserve">Rumia Janowo</t>
  </si>
  <si>
    <t xml:space="preserve">Dąbrowskiego</t>
  </si>
  <si>
    <t xml:space="preserve">Osiedle przy Błoniach</t>
  </si>
  <si>
    <t xml:space="preserve">Błoń Janowskich</t>
  </si>
  <si>
    <t xml:space="preserve">Las - Apartamenty na Półwyspie</t>
  </si>
  <si>
    <t xml:space="preserve">Jastarnia</t>
  </si>
  <si>
    <t xml:space="preserve">Mickiewicza</t>
  </si>
  <si>
    <t xml:space="preserve">Osiedle Arkadia</t>
  </si>
  <si>
    <t xml:space="preserve">Wroclaw</t>
  </si>
  <si>
    <t xml:space="preserve">Poświętne</t>
  </si>
  <si>
    <t xml:space="preserve">Ramiszowska</t>
  </si>
  <si>
    <t xml:space="preserve">Osobowicka 114</t>
  </si>
  <si>
    <t xml:space="preserve">Fabryczna</t>
  </si>
  <si>
    <t xml:space="preserve">Osobowicka</t>
  </si>
  <si>
    <t xml:space="preserve">Osiedle Rapsodia</t>
  </si>
  <si>
    <t xml:space="preserve">Karłowice-Różanka</t>
  </si>
  <si>
    <t xml:space="preserve">Wołowska</t>
  </si>
  <si>
    <t xml:space="preserve">Wille Biskupin</t>
  </si>
  <si>
    <t xml:space="preserve">Braci Gerymskich</t>
  </si>
  <si>
    <t xml:space="preserve">Apartamenty nad Oławką</t>
  </si>
  <si>
    <t xml:space="preserve">Krzyki</t>
  </si>
  <si>
    <t xml:space="preserve">Krakowska</t>
  </si>
  <si>
    <t xml:space="preserve">Hubska 100</t>
  </si>
  <si>
    <t xml:space="preserve">Huby</t>
  </si>
  <si>
    <t xml:space="preserve">Hubska</t>
  </si>
  <si>
    <t xml:space="preserve">Osiedle Harmonia</t>
  </si>
  <si>
    <t xml:space="preserve">Maślice</t>
  </si>
  <si>
    <t xml:space="preserve">Stodolna</t>
  </si>
  <si>
    <t xml:space="preserve">Osiedle Międzyleska</t>
  </si>
  <si>
    <t xml:space="preserve">Tarnogaj</t>
  </si>
  <si>
    <t xml:space="preserve">Międzyleska</t>
  </si>
  <si>
    <t xml:space="preserve">Apartamenty nad rzeką</t>
  </si>
  <si>
    <t xml:space="preserve">Szczepin</t>
  </si>
  <si>
    <t xml:space="preserve">Michalczyka</t>
  </si>
  <si>
    <t xml:space="preserve">Braniborska 80</t>
  </si>
  <si>
    <t xml:space="preserve">Braniborska</t>
  </si>
  <si>
    <t xml:space="preserve">Osiedle Zielna</t>
  </si>
  <si>
    <t xml:space="preserve">Psie Pole</t>
  </si>
  <si>
    <t xml:space="preserve">Zielna</t>
  </si>
  <si>
    <t xml:space="preserve">Deweloper</t>
  </si>
  <si>
    <t xml:space="preserve">Powierzchnia (ha)</t>
  </si>
  <si>
    <t xml:space="preserve">Planowana ilość lokali</t>
  </si>
  <si>
    <t xml:space="preserve">Planowane rozpoczęcie sprzedaży</t>
  </si>
  <si>
    <t xml:space="preserve">Spółka</t>
  </si>
  <si>
    <t xml:space="preserve">Cena (mln zł)</t>
  </si>
  <si>
    <t xml:space="preserve">Ogłoszone</t>
  </si>
  <si>
    <t xml:space="preserve">Develia</t>
  </si>
  <si>
    <t xml:space="preserve">Develia Vita</t>
  </si>
  <si>
    <t xml:space="preserve">DOM</t>
  </si>
  <si>
    <t xml:space="preserve">Bank ziemi</t>
  </si>
  <si>
    <t xml:space="preserve">Źródło: sprawozdanie z działalności zarządu za 2024</t>
  </si>
  <si>
    <t xml:space="preserve">Kwartały</t>
  </si>
  <si>
    <t xml:space="preserve">Sprzedał</t>
  </si>
  <si>
    <t xml:space="preserve">1 kw. 2024</t>
  </si>
  <si>
    <t xml:space="preserve">2 kw. 2024</t>
  </si>
  <si>
    <t xml:space="preserve">3 kw. 2024</t>
  </si>
  <si>
    <t xml:space="preserve">2 kw. 2026</t>
  </si>
  <si>
    <t xml:space="preserve">Atal</t>
  </si>
  <si>
    <t xml:space="preserve">Dom</t>
  </si>
  <si>
    <t xml:space="preserve">Przekazał</t>
  </si>
  <si>
    <t xml:space="preserve">Wprowadzil</t>
  </si>
  <si>
    <t xml:space="preserve">SPRZEDAŻ PODZIAŁ NA MIASTA – DOM DEVELOPMENT</t>
  </si>
  <si>
    <t xml:space="preserve">TRÓJMIASTO</t>
  </si>
  <si>
    <t xml:space="preserve">WROCŁAW</t>
  </si>
  <si>
    <t xml:space="preserve">KRAKÓW</t>
  </si>
  <si>
    <t xml:space="preserve">WARSZAWA</t>
  </si>
  <si>
    <t xml:space="preserve">OBECNOŚĆ ZE WZGLĘDU NA MIASTA</t>
  </si>
  <si>
    <t xml:space="preserve">Katowice</t>
  </si>
  <si>
    <t xml:space="preserve">x</t>
  </si>
  <si>
    <t xml:space="preserve">Łódź</t>
  </si>
  <si>
    <t xml:space="preserve">Piotrków Trybunalski</t>
  </si>
  <si>
    <t xml:space="preserve">Poznań</t>
  </si>
  <si>
    <t xml:space="preserve">Swarzędz</t>
  </si>
  <si>
    <t xml:space="preserve">Szczecin</t>
  </si>
  <si>
    <t xml:space="preserve">Reda</t>
  </si>
  <si>
    <t xml:space="preserve">Wrocław</t>
  </si>
  <si>
    <t xml:space="preserve">Drezno</t>
  </si>
  <si>
    <t xml:space="preserve">Oferty specjalne</t>
  </si>
  <si>
    <t xml:space="preserve">WIELKOŚĆ OFERTY</t>
  </si>
  <si>
    <t xml:space="preserve">Liczba osiedli</t>
  </si>
  <si>
    <t xml:space="preserve">Liczba miast</t>
  </si>
  <si>
    <t xml:space="preserve">LICZBA MIESZKAŃ W SPRZEDAŻY</t>
  </si>
  <si>
    <t xml:space="preserve">W sprzedaży</t>
  </si>
  <si>
    <t xml:space="preserve">W budowie</t>
  </si>
  <si>
    <t xml:space="preserve">Sprzedane w budowie</t>
  </si>
  <si>
    <t xml:space="preserve">W budowie nie wystawione</t>
  </si>
  <si>
    <t xml:space="preserve">Sprzedaż R12m</t>
  </si>
  <si>
    <t xml:space="preserve">DM</t>
  </si>
  <si>
    <t xml:space="preserve">Autor</t>
  </si>
  <si>
    <t xml:space="preserve">Cena docelowa</t>
  </si>
  <si>
    <t xml:space="preserve">Data raportu</t>
  </si>
  <si>
    <t xml:space="preserve">Trigon</t>
  </si>
  <si>
    <t xml:space="preserve">David Sharma</t>
  </si>
  <si>
    <t xml:space="preserve">Murapol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</si>
</sst>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yyyy\-mm\-dd;@"/>
    <numFmt numFmtId="166" formatCode="d/mm/yyyy"/>
    <numFmt numFmtId="167" formatCode="dd\-mmm\-yy"/>
  </numFmts>
  <fonts count="8">
    <font>
      <sz val="11"/>
      <color rgb="FF000000"/>
      <name val="Aptos Narrow"/>
      <family val="2"/>
      <charset val="1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color rgb="FF000000"/>
      <name val="Arial"/>
      <family val="2"/>
      <charset val="1"/>
    </font>
    <font>
      <u val="single"/>
      <sz val="10"/>
      <color rgb="FF467886"/>
      <name val="Arial"/>
      <family val="2"/>
      <charset val="1"/>
    </font>
    <font>
      <u val="single"/>
      <sz val="11"/>
      <color rgb="FF467886"/>
      <name val="Aptos Narrow"/>
      <family val="2"/>
      <charset val="1"/>
    </font>
    <font>
      <i val="true"/>
      <sz val="10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6788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sharedStrings" Target="sharedStrings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https://www.domd.pl/pl-pl/warszawa/lista-inwestycji/apartamenty-beethovena?tabInTabs=1&amp;city=warszawa&amp;viewType=list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9" activeCellId="0" sqref="E19"/>
    </sheetView>
  </sheetViews>
  <sheetFormatPr defaultColWidth="8.46484375" defaultRowHeight="14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0" activeCellId="0" sqref="D30"/>
    </sheetView>
  </sheetViews>
  <sheetFormatPr defaultColWidth="8.46484375" defaultRowHeight="14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F3" activeCellId="0" sqref="F3"/>
    </sheetView>
  </sheetViews>
  <sheetFormatPr defaultColWidth="8.46484375" defaultRowHeight="12.8" zeroHeight="false" outlineLevelRow="0" outlineLevelCol="0"/>
  <cols>
    <col collapsed="false" customWidth="true" hidden="false" outlineLevel="0" max="1" min="1" style="1" width="24.4"/>
    <col collapsed="false" customWidth="false" hidden="false" outlineLevel="0" max="2" min="2" style="1" width="8.48"/>
    <col collapsed="false" customWidth="true" hidden="false" outlineLevel="0" max="3" min="3" style="1" width="9.45"/>
    <col collapsed="false" customWidth="true" hidden="false" outlineLevel="0" max="4" min="4" style="1" width="7.52"/>
    <col collapsed="false" customWidth="false" hidden="false" outlineLevel="0" max="5" min="5" style="1" width="8.48"/>
    <col collapsed="false" customWidth="true" hidden="false" outlineLevel="0" max="6" min="6" style="1" width="10.63"/>
    <col collapsed="false" customWidth="true" hidden="false" outlineLevel="0" max="7" min="7" style="1" width="10.55"/>
    <col collapsed="false" customWidth="false" hidden="false" outlineLevel="0" max="10" min="8" style="1" width="8.48"/>
    <col collapsed="false" customWidth="false" hidden="true" outlineLevel="0" max="13" min="11" style="1" width="8.48"/>
    <col collapsed="false" customWidth="false" hidden="false" outlineLevel="0" max="1024" min="14" style="1" width="8.48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W1" s="1" t="s">
        <v>20</v>
      </c>
    </row>
    <row r="2" customFormat="false" ht="12.8" hidden="false" customHeight="false" outlineLevel="0" collapsed="false">
      <c r="A2" s="1" t="s">
        <v>21</v>
      </c>
      <c r="B2" s="1" t="s">
        <v>22</v>
      </c>
      <c r="C2" s="1" t="s">
        <v>23</v>
      </c>
      <c r="D2" s="1" t="s">
        <v>24</v>
      </c>
      <c r="F2" s="2" t="s">
        <v>25</v>
      </c>
      <c r="G2" s="2" t="s">
        <v>26</v>
      </c>
      <c r="I2" s="1" t="n">
        <v>124</v>
      </c>
      <c r="J2" s="1" t="n">
        <v>104</v>
      </c>
      <c r="K2" s="1" t="n">
        <v>10</v>
      </c>
    </row>
    <row r="3" customFormat="false" ht="13.8" hidden="false" customHeight="false" outlineLevel="0" collapsed="false">
      <c r="A3" s="1" t="s">
        <v>27</v>
      </c>
      <c r="B3" s="1" t="s">
        <v>22</v>
      </c>
      <c r="C3" s="1" t="s">
        <v>28</v>
      </c>
      <c r="D3" s="1" t="s">
        <v>29</v>
      </c>
      <c r="E3" s="1" t="n">
        <v>14600</v>
      </c>
      <c r="F3" s="0"/>
      <c r="G3" s="0"/>
      <c r="H3" s="0" t="n">
        <v>1</v>
      </c>
      <c r="I3" s="0"/>
      <c r="J3" s="1" t="n">
        <v>0</v>
      </c>
      <c r="S3" s="1" t="n">
        <v>63</v>
      </c>
    </row>
    <row r="4" customFormat="false" ht="12.8" hidden="false" customHeight="false" outlineLevel="0" collapsed="false">
      <c r="F4" s="2"/>
      <c r="G4" s="2" t="s">
        <v>30</v>
      </c>
      <c r="H4" s="3" t="n">
        <v>2.1</v>
      </c>
      <c r="J4" s="1" t="n">
        <v>140</v>
      </c>
    </row>
    <row r="5" customFormat="false" ht="12.8" hidden="false" customHeight="false" outlineLevel="0" collapsed="false">
      <c r="F5" s="2"/>
      <c r="G5" s="2" t="s">
        <v>31</v>
      </c>
      <c r="H5" s="3" t="n">
        <v>2.2</v>
      </c>
    </row>
    <row r="6" customFormat="false" ht="12.8" hidden="false" customHeight="false" outlineLevel="0" collapsed="false">
      <c r="A6" s="1" t="s">
        <v>32</v>
      </c>
      <c r="B6" s="1" t="s">
        <v>22</v>
      </c>
      <c r="C6" s="1" t="s">
        <v>33</v>
      </c>
      <c r="D6" s="1" t="s">
        <v>34</v>
      </c>
      <c r="E6" s="1" t="n">
        <v>12500</v>
      </c>
      <c r="F6" s="2"/>
      <c r="G6" s="2" t="s">
        <v>25</v>
      </c>
      <c r="H6" s="1" t="n">
        <v>4</v>
      </c>
      <c r="J6" s="1" t="n">
        <v>69</v>
      </c>
      <c r="P6" s="1" t="n">
        <v>68</v>
      </c>
      <c r="Q6" s="1" t="n">
        <v>41</v>
      </c>
      <c r="R6" s="1" t="n">
        <v>69</v>
      </c>
      <c r="U6" s="1" t="n">
        <v>96</v>
      </c>
    </row>
    <row r="7" customFormat="false" ht="12.8" hidden="false" customHeight="false" outlineLevel="0" collapsed="false">
      <c r="F7" s="2"/>
      <c r="G7" s="2" t="s">
        <v>35</v>
      </c>
      <c r="H7" s="1" t="n">
        <v>5</v>
      </c>
    </row>
    <row r="8" customFormat="false" ht="12.8" hidden="false" customHeight="false" outlineLevel="0" collapsed="false">
      <c r="A8" s="1" t="s">
        <v>36</v>
      </c>
      <c r="B8" s="1" t="s">
        <v>22</v>
      </c>
      <c r="C8" s="1" t="s">
        <v>37</v>
      </c>
      <c r="D8" s="1" t="s">
        <v>38</v>
      </c>
      <c r="F8" s="2"/>
      <c r="G8" s="2" t="s">
        <v>39</v>
      </c>
      <c r="J8" s="1" t="n">
        <v>211</v>
      </c>
      <c r="Q8" s="1" t="n">
        <v>46</v>
      </c>
    </row>
    <row r="9" customFormat="false" ht="12.8" hidden="false" customHeight="false" outlineLevel="0" collapsed="false">
      <c r="A9" s="1" t="s">
        <v>40</v>
      </c>
      <c r="B9" s="1" t="s">
        <v>22</v>
      </c>
      <c r="C9" s="1" t="s">
        <v>41</v>
      </c>
      <c r="D9" s="1" t="s">
        <v>42</v>
      </c>
      <c r="E9" s="1" t="n">
        <v>14900</v>
      </c>
      <c r="F9" s="2"/>
      <c r="G9" s="2" t="s">
        <v>30</v>
      </c>
      <c r="H9" s="1" t="n">
        <v>2</v>
      </c>
      <c r="J9" s="1" t="n">
        <v>25</v>
      </c>
    </row>
    <row r="10" customFormat="false" ht="12.8" hidden="false" customHeight="false" outlineLevel="0" collapsed="false">
      <c r="A10" s="1" t="s">
        <v>43</v>
      </c>
      <c r="B10" s="1" t="s">
        <v>44</v>
      </c>
      <c r="C10" s="1" t="s">
        <v>45</v>
      </c>
      <c r="D10" s="1" t="s">
        <v>46</v>
      </c>
      <c r="F10" s="2" t="s">
        <v>25</v>
      </c>
      <c r="G10" s="2" t="s">
        <v>26</v>
      </c>
      <c r="I10" s="1" t="n">
        <v>207</v>
      </c>
      <c r="N10" s="1" t="n">
        <v>32</v>
      </c>
      <c r="O10" s="1" t="n">
        <v>94</v>
      </c>
    </row>
    <row r="11" customFormat="false" ht="12.8" hidden="false" customHeight="false" outlineLevel="0" collapsed="false">
      <c r="A11" s="1" t="s">
        <v>47</v>
      </c>
      <c r="B11" s="1" t="s">
        <v>44</v>
      </c>
      <c r="C11" s="1" t="s">
        <v>48</v>
      </c>
      <c r="D11" s="1" t="s">
        <v>49</v>
      </c>
      <c r="F11" s="2" t="s">
        <v>25</v>
      </c>
      <c r="G11" s="2" t="s">
        <v>26</v>
      </c>
    </row>
    <row r="12" customFormat="false" ht="12.8" hidden="false" customHeight="false" outlineLevel="0" collapsed="false">
      <c r="A12" s="1" t="s">
        <v>50</v>
      </c>
      <c r="B12" s="1" t="s">
        <v>44</v>
      </c>
      <c r="C12" s="1" t="s">
        <v>51</v>
      </c>
      <c r="D12" s="1" t="s">
        <v>52</v>
      </c>
      <c r="F12" s="2" t="s">
        <v>53</v>
      </c>
      <c r="G12" s="2"/>
      <c r="H12" s="1" t="s">
        <v>54</v>
      </c>
      <c r="I12" s="1" t="n">
        <v>294</v>
      </c>
      <c r="J12" s="1" t="n">
        <v>142</v>
      </c>
      <c r="P12" s="1" t="n">
        <v>75</v>
      </c>
      <c r="Q12" s="1" t="n">
        <v>62</v>
      </c>
      <c r="R12" s="1" t="n">
        <v>137</v>
      </c>
    </row>
    <row r="13" customFormat="false" ht="12.8" hidden="false" customHeight="false" outlineLevel="0" collapsed="false">
      <c r="F13" s="2" t="s">
        <v>25</v>
      </c>
      <c r="G13" s="2" t="s">
        <v>55</v>
      </c>
      <c r="H13" s="1" t="s">
        <v>54</v>
      </c>
      <c r="I13" s="1" t="n">
        <v>192</v>
      </c>
    </row>
    <row r="14" customFormat="false" ht="12.8" hidden="false" customHeight="false" outlineLevel="0" collapsed="false">
      <c r="A14" s="1" t="s">
        <v>56</v>
      </c>
      <c r="B14" s="1" t="s">
        <v>44</v>
      </c>
      <c r="C14" s="1" t="s">
        <v>57</v>
      </c>
      <c r="D14" s="1" t="s">
        <v>58</v>
      </c>
      <c r="F14" s="2" t="s">
        <v>25</v>
      </c>
      <c r="G14" s="2" t="s">
        <v>31</v>
      </c>
      <c r="I14" s="1" t="n">
        <v>63</v>
      </c>
      <c r="K14" s="1" t="n">
        <v>4</v>
      </c>
    </row>
    <row r="15" customFormat="false" ht="12.8" hidden="false" customHeight="false" outlineLevel="0" collapsed="false">
      <c r="F15" s="2" t="s">
        <v>59</v>
      </c>
      <c r="G15" s="2"/>
      <c r="I15" s="1" t="n">
        <v>119</v>
      </c>
    </row>
    <row r="16" customFormat="false" ht="12.8" hidden="false" customHeight="false" outlineLevel="0" collapsed="false">
      <c r="A16" s="1" t="s">
        <v>60</v>
      </c>
      <c r="B16" s="1" t="s">
        <v>44</v>
      </c>
      <c r="C16" s="1" t="s">
        <v>61</v>
      </c>
      <c r="D16" s="1" t="s">
        <v>62</v>
      </c>
      <c r="F16" s="2" t="s">
        <v>59</v>
      </c>
      <c r="G16" s="2"/>
      <c r="I16" s="1" t="n">
        <v>79</v>
      </c>
    </row>
    <row r="17" customFormat="false" ht="12.8" hidden="false" customHeight="false" outlineLevel="0" collapsed="false">
      <c r="A17" s="1" t="s">
        <v>63</v>
      </c>
      <c r="B17" s="1" t="s">
        <v>44</v>
      </c>
      <c r="C17" s="1" t="s">
        <v>64</v>
      </c>
      <c r="D17" s="1" t="s">
        <v>65</v>
      </c>
      <c r="F17" s="2" t="s">
        <v>53</v>
      </c>
      <c r="G17" s="2"/>
      <c r="I17" s="1" t="n">
        <v>50</v>
      </c>
      <c r="P17" s="1" t="n">
        <v>118</v>
      </c>
      <c r="Q17" s="1" t="n">
        <v>109</v>
      </c>
      <c r="R17" s="1" t="n">
        <v>109</v>
      </c>
    </row>
    <row r="18" customFormat="false" ht="12.8" hidden="false" customHeight="false" outlineLevel="0" collapsed="false">
      <c r="F18" s="2"/>
      <c r="G18" s="2"/>
    </row>
    <row r="19" customFormat="false" ht="12.8" hidden="false" customHeight="false" outlineLevel="0" collapsed="false">
      <c r="A19" s="1" t="s">
        <v>66</v>
      </c>
      <c r="B19" s="1" t="s">
        <v>44</v>
      </c>
      <c r="C19" s="1" t="s">
        <v>57</v>
      </c>
      <c r="D19" s="1" t="s">
        <v>67</v>
      </c>
      <c r="F19" s="2"/>
      <c r="G19" s="2" t="s">
        <v>25</v>
      </c>
      <c r="U19" s="1" t="n">
        <v>161</v>
      </c>
    </row>
    <row r="20" customFormat="false" ht="12.8" hidden="false" customHeight="false" outlineLevel="0" collapsed="false">
      <c r="A20" s="1" t="s">
        <v>68</v>
      </c>
      <c r="B20" s="1" t="s">
        <v>44</v>
      </c>
      <c r="C20" s="1" t="s">
        <v>69</v>
      </c>
      <c r="D20" s="1" t="s">
        <v>70</v>
      </c>
      <c r="F20" s="2"/>
      <c r="G20" s="2"/>
      <c r="S20" s="1" t="n">
        <v>66</v>
      </c>
    </row>
    <row r="21" customFormat="false" ht="12.8" hidden="false" customHeight="false" outlineLevel="0" collapsed="false">
      <c r="A21" s="1" t="s">
        <v>71</v>
      </c>
      <c r="B21" s="1" t="s">
        <v>44</v>
      </c>
      <c r="C21" s="1" t="s">
        <v>72</v>
      </c>
      <c r="D21" s="1" t="s">
        <v>73</v>
      </c>
      <c r="F21" s="2"/>
      <c r="G21" s="2"/>
    </row>
    <row r="22" customFormat="false" ht="12.8" hidden="false" customHeight="false" outlineLevel="0" collapsed="false">
      <c r="A22" s="1" t="s">
        <v>74</v>
      </c>
      <c r="B22" s="1" t="s">
        <v>44</v>
      </c>
      <c r="C22" s="1" t="s">
        <v>72</v>
      </c>
      <c r="D22" s="1" t="s">
        <v>75</v>
      </c>
      <c r="E22" s="1" t="n">
        <v>13500</v>
      </c>
      <c r="F22" s="2" t="s">
        <v>76</v>
      </c>
      <c r="G22" s="2" t="s">
        <v>55</v>
      </c>
      <c r="I22" s="1" t="n">
        <v>137</v>
      </c>
      <c r="N22" s="1" t="n">
        <v>27</v>
      </c>
      <c r="O22" s="1" t="n">
        <v>85</v>
      </c>
      <c r="P22" s="1" t="n">
        <v>66</v>
      </c>
      <c r="Q22" s="1" t="n">
        <v>62</v>
      </c>
      <c r="R22" s="1" t="n">
        <v>64</v>
      </c>
      <c r="S22" s="1" t="n">
        <v>133</v>
      </c>
    </row>
    <row r="23" customFormat="false" ht="12.8" hidden="false" customHeight="false" outlineLevel="0" collapsed="false">
      <c r="A23" s="1" t="s">
        <v>77</v>
      </c>
      <c r="B23" s="1" t="s">
        <v>44</v>
      </c>
      <c r="C23" s="1" t="s">
        <v>57</v>
      </c>
      <c r="D23" s="1" t="s">
        <v>78</v>
      </c>
      <c r="E23" s="1" t="n">
        <v>20300</v>
      </c>
      <c r="F23" s="2" t="s">
        <v>53</v>
      </c>
      <c r="G23" s="2" t="s">
        <v>55</v>
      </c>
      <c r="H23" s="1" t="n">
        <v>1</v>
      </c>
      <c r="I23" s="1" t="n">
        <v>209</v>
      </c>
      <c r="J23" s="1" t="n">
        <v>108</v>
      </c>
      <c r="W23" s="4" t="s">
        <v>79</v>
      </c>
      <c r="X23" s="4"/>
    </row>
    <row r="24" customFormat="false" ht="12.8" hidden="false" customHeight="false" outlineLevel="0" collapsed="false">
      <c r="F24" s="2"/>
      <c r="G24" s="2"/>
      <c r="I24" s="1" t="n">
        <v>77</v>
      </c>
    </row>
    <row r="25" customFormat="false" ht="12.8" hidden="false" customHeight="false" outlineLevel="0" collapsed="false">
      <c r="A25" s="1" t="s">
        <v>80</v>
      </c>
      <c r="B25" s="1" t="s">
        <v>44</v>
      </c>
      <c r="C25" s="1" t="s">
        <v>69</v>
      </c>
      <c r="D25" s="1" t="s">
        <v>81</v>
      </c>
      <c r="F25" s="2"/>
      <c r="G25" s="2"/>
    </row>
    <row r="26" customFormat="false" ht="12.8" hidden="false" customHeight="false" outlineLevel="0" collapsed="false">
      <c r="A26" s="1" t="s">
        <v>82</v>
      </c>
      <c r="B26" s="1" t="s">
        <v>44</v>
      </c>
      <c r="C26" s="1" t="s">
        <v>83</v>
      </c>
      <c r="D26" s="1" t="s">
        <v>84</v>
      </c>
      <c r="F26" s="2"/>
      <c r="G26" s="2" t="s">
        <v>59</v>
      </c>
      <c r="T26" s="1" t="n">
        <v>139</v>
      </c>
      <c r="U26" s="1" t="n">
        <v>249</v>
      </c>
    </row>
    <row r="27" customFormat="false" ht="12.8" hidden="false" customHeight="false" outlineLevel="0" collapsed="false">
      <c r="A27" s="1" t="s">
        <v>85</v>
      </c>
      <c r="B27" s="1" t="s">
        <v>44</v>
      </c>
      <c r="C27" s="1" t="s">
        <v>83</v>
      </c>
      <c r="D27" s="1" t="s">
        <v>86</v>
      </c>
      <c r="F27" s="2"/>
      <c r="G27" s="2"/>
    </row>
    <row r="28" customFormat="false" ht="12.8" hidden="false" customHeight="false" outlineLevel="0" collapsed="false">
      <c r="A28" s="1" t="s">
        <v>87</v>
      </c>
      <c r="B28" s="1" t="s">
        <v>88</v>
      </c>
      <c r="C28" s="1" t="s">
        <v>89</v>
      </c>
      <c r="D28" s="1" t="s">
        <v>90</v>
      </c>
      <c r="F28" s="2"/>
      <c r="G28" s="2" t="s">
        <v>59</v>
      </c>
      <c r="T28" s="1" t="n">
        <v>115</v>
      </c>
    </row>
    <row r="29" customFormat="false" ht="12.8" hidden="false" customHeight="false" outlineLevel="0" collapsed="false">
      <c r="F29" s="2" t="s">
        <v>53</v>
      </c>
      <c r="G29" s="2" t="s">
        <v>91</v>
      </c>
      <c r="H29" s="1" t="s">
        <v>54</v>
      </c>
      <c r="I29" s="1" t="n">
        <v>225</v>
      </c>
      <c r="K29" s="1" t="n">
        <v>21</v>
      </c>
    </row>
    <row r="30" customFormat="false" ht="12.8" hidden="false" customHeight="false" outlineLevel="0" collapsed="false">
      <c r="A30" s="1" t="s">
        <v>92</v>
      </c>
      <c r="B30" s="1" t="s">
        <v>88</v>
      </c>
      <c r="C30" s="1" t="s">
        <v>93</v>
      </c>
      <c r="D30" s="1" t="s">
        <v>94</v>
      </c>
      <c r="F30" s="2" t="s">
        <v>53</v>
      </c>
      <c r="G30" s="2" t="s">
        <v>91</v>
      </c>
      <c r="H30" s="1" t="n">
        <v>1</v>
      </c>
      <c r="I30" s="1" t="n">
        <v>101</v>
      </c>
      <c r="K30" s="1" t="n">
        <v>10</v>
      </c>
    </row>
    <row r="31" customFormat="false" ht="12.8" hidden="false" customHeight="false" outlineLevel="0" collapsed="false">
      <c r="A31" s="1" t="s">
        <v>95</v>
      </c>
      <c r="B31" s="1" t="s">
        <v>88</v>
      </c>
      <c r="C31" s="1" t="s">
        <v>96</v>
      </c>
      <c r="D31" s="1" t="s">
        <v>97</v>
      </c>
      <c r="F31" s="2"/>
      <c r="G31" s="2"/>
      <c r="R31" s="1" t="n">
        <v>43</v>
      </c>
    </row>
    <row r="32" customFormat="false" ht="12.8" hidden="false" customHeight="false" outlineLevel="0" collapsed="false">
      <c r="A32" s="1" t="s">
        <v>98</v>
      </c>
      <c r="B32" s="1" t="s">
        <v>88</v>
      </c>
      <c r="C32" s="1" t="s">
        <v>99</v>
      </c>
      <c r="D32" s="1" t="s">
        <v>100</v>
      </c>
      <c r="F32" s="2"/>
      <c r="G32" s="2"/>
    </row>
    <row r="33" customFormat="false" ht="12.8" hidden="false" customHeight="false" outlineLevel="0" collapsed="false">
      <c r="A33" s="1" t="s">
        <v>101</v>
      </c>
      <c r="B33" s="1" t="s">
        <v>88</v>
      </c>
      <c r="C33" s="1" t="s">
        <v>93</v>
      </c>
      <c r="D33" s="1" t="s">
        <v>102</v>
      </c>
      <c r="H33" s="1" t="n">
        <v>1</v>
      </c>
    </row>
    <row r="34" customFormat="false" ht="12.8" hidden="false" customHeight="false" outlineLevel="0" collapsed="false">
      <c r="F34" s="2" t="s">
        <v>53</v>
      </c>
      <c r="G34" s="2" t="s">
        <v>55</v>
      </c>
      <c r="H34" s="1" t="n">
        <v>2</v>
      </c>
      <c r="I34" s="1" t="n">
        <v>20</v>
      </c>
    </row>
    <row r="35" customFormat="false" ht="12.8" hidden="false" customHeight="false" outlineLevel="0" collapsed="false">
      <c r="A35" s="1" t="s">
        <v>103</v>
      </c>
      <c r="B35" s="1" t="s">
        <v>88</v>
      </c>
      <c r="C35" s="1" t="s">
        <v>104</v>
      </c>
      <c r="D35" s="1" t="s">
        <v>105</v>
      </c>
      <c r="F35" s="2"/>
      <c r="G35" s="2"/>
    </row>
    <row r="36" customFormat="false" ht="12.8" hidden="false" customHeight="false" outlineLevel="0" collapsed="false">
      <c r="A36" s="1" t="s">
        <v>106</v>
      </c>
      <c r="B36" s="1" t="s">
        <v>88</v>
      </c>
      <c r="C36" s="1" t="s">
        <v>107</v>
      </c>
      <c r="D36" s="1" t="s">
        <v>108</v>
      </c>
      <c r="F36" s="1" t="s">
        <v>59</v>
      </c>
      <c r="G36" s="2"/>
      <c r="I36" s="1" t="n">
        <v>153</v>
      </c>
      <c r="Q36" s="1" t="n">
        <v>63</v>
      </c>
      <c r="R36" s="1" t="n">
        <v>48</v>
      </c>
      <c r="S36" s="1" t="n">
        <v>88</v>
      </c>
    </row>
    <row r="37" customFormat="false" ht="12.8" hidden="false" customHeight="false" outlineLevel="0" collapsed="false">
      <c r="A37" s="1" t="s">
        <v>109</v>
      </c>
      <c r="B37" s="1" t="s">
        <v>88</v>
      </c>
      <c r="C37" s="1" t="s">
        <v>107</v>
      </c>
      <c r="G37" s="2" t="s">
        <v>25</v>
      </c>
      <c r="J37" s="1" t="n">
        <v>1</v>
      </c>
      <c r="U37" s="1" t="n">
        <v>163</v>
      </c>
    </row>
    <row r="38" customFormat="false" ht="12.8" hidden="false" customHeight="false" outlineLevel="0" collapsed="false">
      <c r="A38" s="1" t="s">
        <v>110</v>
      </c>
      <c r="B38" s="1" t="s">
        <v>88</v>
      </c>
      <c r="C38" s="1" t="s">
        <v>111</v>
      </c>
      <c r="D38" s="1" t="s">
        <v>112</v>
      </c>
      <c r="G38" s="1" t="s">
        <v>59</v>
      </c>
      <c r="T38" s="1" t="n">
        <v>84</v>
      </c>
    </row>
    <row r="39" customFormat="false" ht="12.8" hidden="false" customHeight="false" outlineLevel="0" collapsed="false">
      <c r="A39" s="1" t="s">
        <v>113</v>
      </c>
      <c r="B39" s="1" t="s">
        <v>88</v>
      </c>
      <c r="C39" s="1" t="s">
        <v>93</v>
      </c>
      <c r="D39" s="1" t="s">
        <v>114</v>
      </c>
    </row>
    <row r="40" customFormat="false" ht="12.8" hidden="false" customHeight="false" outlineLevel="0" collapsed="false">
      <c r="A40" s="1" t="s">
        <v>115</v>
      </c>
      <c r="B40" s="1" t="s">
        <v>88</v>
      </c>
      <c r="C40" s="1" t="s">
        <v>116</v>
      </c>
      <c r="D40" s="1" t="s">
        <v>115</v>
      </c>
      <c r="F40" s="1" t="s">
        <v>53</v>
      </c>
      <c r="G40" s="1" t="s">
        <v>91</v>
      </c>
      <c r="I40" s="1" t="n">
        <v>86</v>
      </c>
      <c r="K40" s="1" t="n">
        <v>3</v>
      </c>
      <c r="N40" s="1" t="n">
        <v>35</v>
      </c>
      <c r="O40" s="1" t="n">
        <v>98</v>
      </c>
    </row>
    <row r="41" customFormat="false" ht="12.8" hidden="false" customHeight="false" outlineLevel="0" collapsed="false">
      <c r="A41" s="1" t="s">
        <v>117</v>
      </c>
      <c r="B41" s="1" t="s">
        <v>88</v>
      </c>
      <c r="C41" s="1" t="s">
        <v>118</v>
      </c>
      <c r="D41" s="1" t="s">
        <v>119</v>
      </c>
      <c r="F41" s="1" t="s">
        <v>53</v>
      </c>
      <c r="H41" s="1" t="s">
        <v>54</v>
      </c>
      <c r="I41" s="1" t="n">
        <v>80</v>
      </c>
      <c r="K41" s="1" t="n">
        <v>10</v>
      </c>
      <c r="P41" s="1" t="n">
        <v>47</v>
      </c>
    </row>
    <row r="42" customFormat="false" ht="12.8" hidden="false" customHeight="false" outlineLevel="0" collapsed="false">
      <c r="F42" s="1" t="s">
        <v>76</v>
      </c>
      <c r="G42" s="1" t="s">
        <v>55</v>
      </c>
      <c r="H42" s="1" t="s">
        <v>54</v>
      </c>
      <c r="I42" s="1" t="n">
        <v>86</v>
      </c>
    </row>
    <row r="43" customFormat="false" ht="12.8" hidden="false" customHeight="false" outlineLevel="0" collapsed="false">
      <c r="A43" s="1" t="s">
        <v>120</v>
      </c>
      <c r="B43" s="1" t="s">
        <v>88</v>
      </c>
      <c r="C43" s="1" t="s">
        <v>121</v>
      </c>
      <c r="D43" s="1" t="s">
        <v>122</v>
      </c>
      <c r="G43" s="1" t="s">
        <v>25</v>
      </c>
      <c r="U43" s="1" t="n">
        <v>59</v>
      </c>
    </row>
    <row r="44" customFormat="false" ht="12.8" hidden="false" customHeight="false" outlineLevel="0" collapsed="false">
      <c r="A44" s="1" t="s">
        <v>123</v>
      </c>
      <c r="B44" s="1" t="s">
        <v>88</v>
      </c>
      <c r="C44" s="1" t="s">
        <v>124</v>
      </c>
      <c r="D44" s="1" t="s">
        <v>125</v>
      </c>
      <c r="F44" s="1" t="s">
        <v>59</v>
      </c>
      <c r="I44" s="1" t="n">
        <v>71</v>
      </c>
    </row>
    <row r="45" customFormat="false" ht="12.8" hidden="false" customHeight="false" outlineLevel="0" collapsed="false">
      <c r="A45" s="1" t="s">
        <v>126</v>
      </c>
      <c r="B45" s="1" t="s">
        <v>88</v>
      </c>
      <c r="C45" s="1" t="s">
        <v>124</v>
      </c>
      <c r="D45" s="1" t="s">
        <v>127</v>
      </c>
      <c r="F45" s="1" t="s">
        <v>53</v>
      </c>
      <c r="G45" s="1" t="s">
        <v>55</v>
      </c>
      <c r="H45" s="1" t="s">
        <v>54</v>
      </c>
      <c r="I45" s="1" t="n">
        <v>166</v>
      </c>
      <c r="K45" s="1" t="n">
        <v>1</v>
      </c>
      <c r="P45" s="1" t="n">
        <v>44</v>
      </c>
      <c r="Q45" s="1" t="n">
        <v>38</v>
      </c>
      <c r="R45" s="1" t="n">
        <v>42</v>
      </c>
      <c r="S45" s="1" t="n">
        <v>66</v>
      </c>
    </row>
    <row r="46" customFormat="false" ht="12.8" hidden="false" customHeight="false" outlineLevel="0" collapsed="false">
      <c r="A46" s="1" t="s">
        <v>128</v>
      </c>
      <c r="B46" s="1" t="s">
        <v>88</v>
      </c>
      <c r="C46" s="1" t="s">
        <v>129</v>
      </c>
      <c r="D46" s="1" t="s">
        <v>130</v>
      </c>
    </row>
    <row r="47" customFormat="false" ht="12.8" hidden="false" customHeight="false" outlineLevel="0" collapsed="false">
      <c r="A47" s="1" t="s">
        <v>131</v>
      </c>
      <c r="B47" s="1" t="s">
        <v>132</v>
      </c>
      <c r="C47" s="1" t="s">
        <v>133</v>
      </c>
      <c r="D47" s="1" t="s">
        <v>134</v>
      </c>
      <c r="F47" s="2" t="s">
        <v>25</v>
      </c>
      <c r="G47" s="2"/>
      <c r="I47" s="1" t="n">
        <v>51</v>
      </c>
      <c r="N47" s="1" t="n">
        <v>29</v>
      </c>
      <c r="O47" s="1" t="n">
        <v>79</v>
      </c>
    </row>
    <row r="48" customFormat="false" ht="12.8" hidden="false" customHeight="false" outlineLevel="0" collapsed="false">
      <c r="A48" s="1" t="s">
        <v>135</v>
      </c>
      <c r="B48" s="1" t="s">
        <v>132</v>
      </c>
      <c r="C48" s="1" t="s">
        <v>136</v>
      </c>
      <c r="D48" s="1" t="s">
        <v>137</v>
      </c>
    </row>
    <row r="49" customFormat="false" ht="12.8" hidden="false" customHeight="false" outlineLevel="0" collapsed="false">
      <c r="A49" s="1" t="s">
        <v>138</v>
      </c>
      <c r="B49" s="1" t="s">
        <v>132</v>
      </c>
      <c r="C49" s="1" t="s">
        <v>139</v>
      </c>
      <c r="D49" s="1" t="s">
        <v>140</v>
      </c>
      <c r="F49" s="1" t="s">
        <v>53</v>
      </c>
      <c r="I49" s="1" t="n">
        <v>130</v>
      </c>
      <c r="Q49" s="1" t="n">
        <v>39</v>
      </c>
      <c r="R49" s="1" t="n">
        <v>41</v>
      </c>
    </row>
    <row r="50" customFormat="false" ht="12.8" hidden="false" customHeight="false" outlineLevel="0" collapsed="false">
      <c r="F50" s="1" t="s">
        <v>59</v>
      </c>
      <c r="I50" s="1" t="n">
        <v>129</v>
      </c>
    </row>
    <row r="51" customFormat="false" ht="12.8" hidden="false" customHeight="false" outlineLevel="0" collapsed="false">
      <c r="A51" s="1" t="s">
        <v>141</v>
      </c>
      <c r="B51" s="1" t="s">
        <v>132</v>
      </c>
      <c r="C51" s="1" t="s">
        <v>48</v>
      </c>
      <c r="D51" s="1" t="s">
        <v>142</v>
      </c>
      <c r="H51" s="1" t="n">
        <v>1</v>
      </c>
    </row>
    <row r="52" customFormat="false" ht="12.8" hidden="false" customHeight="false" outlineLevel="0" collapsed="false">
      <c r="F52" s="1" t="s">
        <v>53</v>
      </c>
      <c r="H52" s="1" t="n">
        <v>2</v>
      </c>
      <c r="I52" s="1" t="n">
        <v>54</v>
      </c>
    </row>
    <row r="53" customFormat="false" ht="12.8" hidden="false" customHeight="false" outlineLevel="0" collapsed="false">
      <c r="A53" s="1" t="s">
        <v>143</v>
      </c>
      <c r="B53" s="1" t="s">
        <v>132</v>
      </c>
      <c r="C53" s="1" t="s">
        <v>144</v>
      </c>
      <c r="D53" s="1" t="s">
        <v>145</v>
      </c>
      <c r="H53" s="1" t="n">
        <v>1</v>
      </c>
    </row>
    <row r="54" customFormat="false" ht="12.8" hidden="false" customHeight="false" outlineLevel="0" collapsed="false">
      <c r="F54" s="1" t="s">
        <v>53</v>
      </c>
      <c r="H54" s="1" t="n">
        <v>2</v>
      </c>
      <c r="I54" s="1" t="n">
        <v>161</v>
      </c>
    </row>
    <row r="55" customFormat="false" ht="12.8" hidden="false" customHeight="false" outlineLevel="0" collapsed="false">
      <c r="A55" s="1" t="s">
        <v>146</v>
      </c>
      <c r="B55" s="1" t="s">
        <v>132</v>
      </c>
      <c r="C55" s="1" t="s">
        <v>147</v>
      </c>
      <c r="D55" s="1" t="s">
        <v>148</v>
      </c>
      <c r="F55" s="1" t="s">
        <v>76</v>
      </c>
      <c r="G55" s="1" t="s">
        <v>30</v>
      </c>
      <c r="H55" s="1" t="s">
        <v>54</v>
      </c>
      <c r="I55" s="1" t="n">
        <v>132</v>
      </c>
      <c r="P55" s="1" t="n">
        <v>42</v>
      </c>
      <c r="Q55" s="1" t="n">
        <v>32</v>
      </c>
      <c r="R55" s="1" t="n">
        <v>41</v>
      </c>
    </row>
    <row r="56" customFormat="false" ht="12.8" hidden="false" customHeight="false" outlineLevel="0" collapsed="false">
      <c r="A56" s="1" t="s">
        <v>149</v>
      </c>
      <c r="B56" s="1" t="s">
        <v>132</v>
      </c>
      <c r="C56" s="1" t="s">
        <v>150</v>
      </c>
      <c r="D56" s="1" t="s">
        <v>151</v>
      </c>
      <c r="S56" s="1" t="n">
        <v>127</v>
      </c>
    </row>
    <row r="57" customFormat="false" ht="12.8" hidden="false" customHeight="false" outlineLevel="0" collapsed="false">
      <c r="A57" s="1" t="s">
        <v>152</v>
      </c>
      <c r="B57" s="1" t="s">
        <v>132</v>
      </c>
      <c r="C57" s="1" t="s">
        <v>153</v>
      </c>
      <c r="D57" s="1" t="s">
        <v>154</v>
      </c>
      <c r="P57" s="1" t="n">
        <v>37</v>
      </c>
      <c r="S57" s="1" t="n">
        <v>148</v>
      </c>
    </row>
    <row r="58" customFormat="false" ht="12.8" hidden="false" customHeight="false" outlineLevel="0" collapsed="false">
      <c r="A58" s="1" t="s">
        <v>155</v>
      </c>
      <c r="B58" s="1" t="s">
        <v>132</v>
      </c>
      <c r="C58" s="1" t="s">
        <v>156</v>
      </c>
      <c r="D58" s="1" t="s">
        <v>157</v>
      </c>
    </row>
    <row r="59" customFormat="false" ht="12.8" hidden="false" customHeight="false" outlineLevel="0" collapsed="false">
      <c r="A59" s="1" t="s">
        <v>158</v>
      </c>
      <c r="B59" s="1" t="s">
        <v>132</v>
      </c>
      <c r="C59" s="1" t="s">
        <v>28</v>
      </c>
      <c r="D59" s="1" t="s">
        <v>159</v>
      </c>
      <c r="G59" s="1" t="s">
        <v>59</v>
      </c>
      <c r="P59" s="1" t="n">
        <v>34</v>
      </c>
      <c r="T59" s="1" t="n">
        <v>185</v>
      </c>
      <c r="U59" s="1" t="n">
        <v>26</v>
      </c>
    </row>
    <row r="60" customFormat="false" ht="12.8" hidden="false" customHeight="false" outlineLevel="0" collapsed="false">
      <c r="A60" s="1" t="s">
        <v>160</v>
      </c>
      <c r="B60" s="1" t="s">
        <v>132</v>
      </c>
      <c r="C60" s="1" t="s">
        <v>161</v>
      </c>
      <c r="D60" s="1" t="s">
        <v>162</v>
      </c>
    </row>
  </sheetData>
  <hyperlinks>
    <hyperlink ref="W23" r:id="rId1" display="https://www.domd.pl/pl-pl/warszawa/lista-inwestycji/apartamenty-beethovena?tabInTabs=1&amp;city=warszawa&amp;viewType=list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9" activeCellId="0" sqref="C9"/>
    </sheetView>
  </sheetViews>
  <sheetFormatPr defaultColWidth="8.46484375" defaultRowHeight="12.8" zeroHeight="false" outlineLevelRow="0" outlineLevelCol="0"/>
  <cols>
    <col collapsed="false" customWidth="false" hidden="false" outlineLevel="0" max="1024" min="1" style="1" width="8.48"/>
  </cols>
  <sheetData>
    <row r="1" customFormat="false" ht="12.8" hidden="false" customHeight="false" outlineLevel="0" collapsed="false">
      <c r="A1" s="1" t="s">
        <v>163</v>
      </c>
      <c r="B1" s="1" t="s">
        <v>1</v>
      </c>
      <c r="C1" s="1" t="s">
        <v>2</v>
      </c>
      <c r="D1" s="1" t="s">
        <v>164</v>
      </c>
      <c r="E1" s="1" t="s">
        <v>165</v>
      </c>
      <c r="F1" s="1" t="s">
        <v>166</v>
      </c>
      <c r="G1" s="1" t="s">
        <v>167</v>
      </c>
      <c r="H1" s="1" t="s">
        <v>168</v>
      </c>
      <c r="I1" s="1" t="s">
        <v>169</v>
      </c>
    </row>
    <row r="2" customFormat="false" ht="12.8" hidden="false" customHeight="false" outlineLevel="0" collapsed="false">
      <c r="A2" s="1" t="s">
        <v>170</v>
      </c>
      <c r="B2" s="1" t="s">
        <v>44</v>
      </c>
      <c r="C2" s="1" t="s">
        <v>83</v>
      </c>
      <c r="D2" s="1" t="n">
        <v>0.86</v>
      </c>
      <c r="E2" s="1" t="n">
        <f aca="false">172+5</f>
        <v>177</v>
      </c>
      <c r="F2" s="1" t="s">
        <v>30</v>
      </c>
      <c r="G2" s="1" t="s">
        <v>171</v>
      </c>
      <c r="H2" s="1" t="n">
        <v>23.2</v>
      </c>
      <c r="I2" s="5" t="n">
        <v>45947</v>
      </c>
    </row>
    <row r="8" customFormat="false" ht="12.8" hidden="false" customHeight="false" outlineLevel="0" collapsed="false">
      <c r="A8" s="1" t="s">
        <v>172</v>
      </c>
      <c r="B8" s="5" t="n">
        <v>45657</v>
      </c>
    </row>
    <row r="9" customFormat="false" ht="12.8" hidden="false" customHeight="false" outlineLevel="0" collapsed="false">
      <c r="A9" s="1" t="s">
        <v>173</v>
      </c>
      <c r="B9" s="1" t="n">
        <v>19000</v>
      </c>
      <c r="C9" s="6" t="s">
        <v>174</v>
      </c>
    </row>
    <row r="11" customFormat="false" ht="13.8" hidden="false" customHeight="false" outlineLevel="0" collapsed="false">
      <c r="A11" s="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:P2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J31" activeCellId="0" sqref="J31"/>
    </sheetView>
  </sheetViews>
  <sheetFormatPr defaultColWidth="8.46484375" defaultRowHeight="12.8" zeroHeight="false" outlineLevelRow="0" outlineLevelCol="0"/>
  <cols>
    <col collapsed="false" customWidth="false" hidden="false" outlineLevel="0" max="2" min="1" style="1" width="8.48"/>
    <col collapsed="false" customWidth="true" hidden="false" outlineLevel="0" max="16" min="3" style="1" width="8.73"/>
    <col collapsed="false" customWidth="false" hidden="false" outlineLevel="0" max="1024" min="17" style="1" width="8.48"/>
  </cols>
  <sheetData>
    <row r="1" customFormat="false" ht="12.8" hidden="false" customHeight="false" outlineLevel="0" collapsed="false">
      <c r="B1" s="1" t="s">
        <v>175</v>
      </c>
    </row>
    <row r="2" customFormat="false" ht="12.8" hidden="false" customHeight="false" outlineLevel="0" collapsed="false">
      <c r="B2" s="1" t="s">
        <v>176</v>
      </c>
      <c r="C2" s="2" t="s">
        <v>177</v>
      </c>
      <c r="D2" s="2" t="s">
        <v>178</v>
      </c>
      <c r="E2" s="2" t="s">
        <v>179</v>
      </c>
      <c r="F2" s="2" t="s">
        <v>53</v>
      </c>
      <c r="G2" s="2" t="s">
        <v>76</v>
      </c>
      <c r="H2" s="2" t="s">
        <v>59</v>
      </c>
      <c r="I2" s="2" t="s">
        <v>25</v>
      </c>
      <c r="J2" s="2" t="s">
        <v>35</v>
      </c>
      <c r="K2" s="2" t="s">
        <v>39</v>
      </c>
      <c r="L2" s="2" t="s">
        <v>180</v>
      </c>
      <c r="M2" s="2" t="s">
        <v>30</v>
      </c>
      <c r="N2" s="2" t="s">
        <v>55</v>
      </c>
      <c r="O2" s="2" t="s">
        <v>31</v>
      </c>
      <c r="P2" s="2" t="s">
        <v>91</v>
      </c>
    </row>
    <row r="3" customFormat="false" ht="12.8" hidden="false" customHeight="false" outlineLevel="0" collapsed="false">
      <c r="B3" s="1" t="s">
        <v>181</v>
      </c>
    </row>
    <row r="4" customFormat="false" ht="12.8" hidden="false" customHeight="false" outlineLevel="0" collapsed="false">
      <c r="B4" s="1" t="s">
        <v>170</v>
      </c>
    </row>
    <row r="5" customFormat="false" ht="12.8" hidden="false" customHeight="false" outlineLevel="0" collapsed="false">
      <c r="B5" s="1" t="s">
        <v>182</v>
      </c>
      <c r="C5" s="1" t="n">
        <v>1012</v>
      </c>
      <c r="D5" s="1" t="n">
        <v>943</v>
      </c>
      <c r="G5" s="1" t="n">
        <v>1033</v>
      </c>
      <c r="H5" s="1" t="n">
        <v>1000</v>
      </c>
      <c r="I5" s="1" t="n">
        <v>1183</v>
      </c>
    </row>
    <row r="7" customFormat="false" ht="12.8" hidden="false" customHeight="false" outlineLevel="0" collapsed="false">
      <c r="B7" s="1" t="s">
        <v>183</v>
      </c>
      <c r="C7" s="2" t="s">
        <v>177</v>
      </c>
      <c r="D7" s="2" t="s">
        <v>178</v>
      </c>
      <c r="E7" s="2" t="s">
        <v>179</v>
      </c>
      <c r="F7" s="2" t="s">
        <v>53</v>
      </c>
      <c r="G7" s="2" t="s">
        <v>76</v>
      </c>
      <c r="H7" s="2" t="s">
        <v>59</v>
      </c>
      <c r="I7" s="2" t="s">
        <v>25</v>
      </c>
      <c r="J7" s="2" t="s">
        <v>35</v>
      </c>
      <c r="K7" s="2" t="s">
        <v>39</v>
      </c>
      <c r="L7" s="2" t="s">
        <v>180</v>
      </c>
      <c r="M7" s="2" t="s">
        <v>30</v>
      </c>
      <c r="N7" s="2" t="s">
        <v>55</v>
      </c>
      <c r="O7" s="2" t="s">
        <v>31</v>
      </c>
      <c r="P7" s="2" t="s">
        <v>91</v>
      </c>
    </row>
    <row r="8" customFormat="false" ht="12.8" hidden="false" customHeight="false" outlineLevel="0" collapsed="false">
      <c r="B8" s="1" t="s">
        <v>181</v>
      </c>
    </row>
    <row r="9" customFormat="false" ht="12.8" hidden="false" customHeight="false" outlineLevel="0" collapsed="false">
      <c r="B9" s="1" t="s">
        <v>170</v>
      </c>
    </row>
    <row r="10" customFormat="false" ht="12.8" hidden="false" customHeight="false" outlineLevel="0" collapsed="false">
      <c r="B10" s="1" t="s">
        <v>182</v>
      </c>
      <c r="C10" s="1" t="n">
        <v>921</v>
      </c>
      <c r="D10" s="1" t="n">
        <v>716</v>
      </c>
      <c r="G10" s="1" t="n">
        <v>984</v>
      </c>
      <c r="H10" s="1" t="n">
        <v>611</v>
      </c>
      <c r="I10" s="1" t="n">
        <v>950</v>
      </c>
    </row>
    <row r="12" customFormat="false" ht="12.8" hidden="false" customHeight="false" outlineLevel="0" collapsed="false">
      <c r="B12" s="1" t="s">
        <v>184</v>
      </c>
      <c r="C12" s="2" t="s">
        <v>177</v>
      </c>
      <c r="D12" s="2" t="s">
        <v>178</v>
      </c>
      <c r="E12" s="2" t="s">
        <v>179</v>
      </c>
      <c r="F12" s="2" t="s">
        <v>53</v>
      </c>
      <c r="G12" s="2" t="s">
        <v>76</v>
      </c>
      <c r="H12" s="2" t="s">
        <v>59</v>
      </c>
      <c r="I12" s="2" t="s">
        <v>25</v>
      </c>
      <c r="J12" s="2" t="s">
        <v>35</v>
      </c>
      <c r="K12" s="2" t="s">
        <v>39</v>
      </c>
      <c r="L12" s="2" t="s">
        <v>180</v>
      </c>
      <c r="M12" s="2" t="s">
        <v>30</v>
      </c>
      <c r="N12" s="2" t="s">
        <v>55</v>
      </c>
      <c r="O12" s="2" t="s">
        <v>31</v>
      </c>
      <c r="P12" s="2" t="s">
        <v>91</v>
      </c>
    </row>
    <row r="13" customFormat="false" ht="12.8" hidden="false" customHeight="false" outlineLevel="0" collapsed="false">
      <c r="B13" s="1" t="s">
        <v>181</v>
      </c>
    </row>
    <row r="14" customFormat="false" ht="12.8" hidden="false" customHeight="false" outlineLevel="0" collapsed="false">
      <c r="B14" s="1" t="s">
        <v>170</v>
      </c>
    </row>
    <row r="15" customFormat="false" ht="12.8" hidden="false" customHeight="false" outlineLevel="0" collapsed="false">
      <c r="B15" s="1" t="s">
        <v>182</v>
      </c>
    </row>
    <row r="18" customFormat="false" ht="12.8" hidden="false" customHeight="false" outlineLevel="0" collapsed="false">
      <c r="B18" s="1" t="s">
        <v>185</v>
      </c>
    </row>
    <row r="19" customFormat="false" ht="13.8" hidden="false" customHeight="false" outlineLevel="0" collapsed="false">
      <c r="B19" s="0"/>
      <c r="C19" s="1" t="n">
        <v>2023</v>
      </c>
      <c r="D19" s="1" t="n">
        <v>2024</v>
      </c>
    </row>
    <row r="20" customFormat="false" ht="13.8" hidden="false" customHeight="false" outlineLevel="0" collapsed="false">
      <c r="B20" s="1" t="s">
        <v>186</v>
      </c>
      <c r="C20" s="0"/>
      <c r="D20" s="1" t="n">
        <v>1038</v>
      </c>
    </row>
    <row r="21" customFormat="false" ht="12.8" hidden="false" customHeight="false" outlineLevel="0" collapsed="false">
      <c r="B21" s="1" t="s">
        <v>187</v>
      </c>
      <c r="C21" s="1" t="n">
        <v>648</v>
      </c>
      <c r="D21" s="1" t="n">
        <v>920</v>
      </c>
    </row>
    <row r="22" customFormat="false" ht="12.8" hidden="false" customHeight="false" outlineLevel="0" collapsed="false">
      <c r="B22" s="1" t="s">
        <v>188</v>
      </c>
      <c r="D22" s="1" t="n">
        <v>520</v>
      </c>
    </row>
    <row r="23" customFormat="false" ht="12.8" hidden="false" customHeight="false" outlineLevel="0" collapsed="false">
      <c r="B23" s="1" t="s">
        <v>189</v>
      </c>
      <c r="D23" s="1" t="n">
        <f aca="false">5000-SUM(D20:D22)</f>
        <v>2522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E31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D31" activeCellId="0" sqref="D31"/>
    </sheetView>
  </sheetViews>
  <sheetFormatPr defaultColWidth="8.46484375" defaultRowHeight="12.8" zeroHeight="false" outlineLevelRow="0" outlineLevelCol="0"/>
  <cols>
    <col collapsed="false" customWidth="false" hidden="false" outlineLevel="0" max="1" min="1" style="1" width="8.48"/>
    <col collapsed="false" customWidth="true" hidden="false" outlineLevel="0" max="2" min="2" style="1" width="16.63"/>
    <col collapsed="false" customWidth="false" hidden="false" outlineLevel="0" max="6" min="3" style="1" width="8.48"/>
    <col collapsed="false" customWidth="true" hidden="false" outlineLevel="0" max="7" min="7" style="1" width="11.9"/>
    <col collapsed="false" customWidth="true" hidden="false" outlineLevel="0" max="8" min="8" style="1" width="13.09"/>
    <col collapsed="false" customWidth="true" hidden="false" outlineLevel="0" max="9" min="9" style="1" width="14.45"/>
    <col collapsed="false" customWidth="false" hidden="false" outlineLevel="0" max="1024" min="10" style="1" width="8.48"/>
  </cols>
  <sheetData>
    <row r="2" customFormat="false" ht="12.8" hidden="false" customHeight="false" outlineLevel="0" collapsed="false">
      <c r="B2" s="1" t="s">
        <v>190</v>
      </c>
    </row>
    <row r="3" customFormat="false" ht="12.8" hidden="false" customHeight="false" outlineLevel="0" collapsed="false">
      <c r="C3" s="1" t="s">
        <v>181</v>
      </c>
      <c r="D3" s="1" t="s">
        <v>170</v>
      </c>
      <c r="E3" s="1" t="s">
        <v>182</v>
      </c>
    </row>
    <row r="4" customFormat="false" ht="12.8" hidden="false" customHeight="false" outlineLevel="0" collapsed="false">
      <c r="B4" s="1" t="s">
        <v>191</v>
      </c>
      <c r="C4" s="1" t="s">
        <v>192</v>
      </c>
      <c r="D4" s="1" t="s">
        <v>192</v>
      </c>
    </row>
    <row r="5" customFormat="false" ht="12.8" hidden="false" customHeight="false" outlineLevel="0" collapsed="false">
      <c r="B5" s="1" t="s">
        <v>22</v>
      </c>
      <c r="C5" s="1" t="s">
        <v>192</v>
      </c>
      <c r="D5" s="1" t="s">
        <v>192</v>
      </c>
      <c r="E5" s="1" t="s">
        <v>192</v>
      </c>
    </row>
    <row r="6" customFormat="false" ht="12.8" hidden="false" customHeight="false" outlineLevel="0" collapsed="false">
      <c r="B6" s="1" t="s">
        <v>193</v>
      </c>
      <c r="C6" s="1" t="s">
        <v>192</v>
      </c>
      <c r="D6" s="1" t="s">
        <v>192</v>
      </c>
    </row>
    <row r="7" customFormat="false" ht="12.8" hidden="false" customHeight="false" outlineLevel="0" collapsed="false">
      <c r="B7" s="1" t="s">
        <v>194</v>
      </c>
      <c r="C7" s="1" t="s">
        <v>192</v>
      </c>
    </row>
    <row r="8" customFormat="false" ht="12.8" hidden="false" customHeight="false" outlineLevel="0" collapsed="false">
      <c r="B8" s="1" t="s">
        <v>195</v>
      </c>
      <c r="C8" s="1" t="s">
        <v>192</v>
      </c>
      <c r="D8" s="1" t="s">
        <v>192</v>
      </c>
    </row>
    <row r="9" customFormat="false" ht="12.8" hidden="false" customHeight="false" outlineLevel="0" collapsed="false">
      <c r="B9" s="1" t="s">
        <v>196</v>
      </c>
      <c r="C9" s="1" t="s">
        <v>192</v>
      </c>
    </row>
    <row r="10" customFormat="false" ht="12.8" hidden="false" customHeight="false" outlineLevel="0" collapsed="false">
      <c r="B10" s="1" t="s">
        <v>197</v>
      </c>
      <c r="C10" s="1" t="s">
        <v>192</v>
      </c>
    </row>
    <row r="11" customFormat="false" ht="12.8" hidden="false" customHeight="false" outlineLevel="0" collapsed="false">
      <c r="B11" s="1" t="s">
        <v>198</v>
      </c>
      <c r="C11" s="1" t="s">
        <v>192</v>
      </c>
    </row>
    <row r="12" customFormat="false" ht="12.8" hidden="false" customHeight="false" outlineLevel="0" collapsed="false">
      <c r="B12" s="1" t="s">
        <v>44</v>
      </c>
      <c r="C12" s="1" t="s">
        <v>192</v>
      </c>
      <c r="D12" s="1" t="s">
        <v>192</v>
      </c>
      <c r="E12" s="1" t="s">
        <v>192</v>
      </c>
    </row>
    <row r="13" customFormat="false" ht="12.8" hidden="false" customHeight="false" outlineLevel="0" collapsed="false">
      <c r="B13" s="1" t="s">
        <v>199</v>
      </c>
      <c r="C13" s="1" t="s">
        <v>192</v>
      </c>
      <c r="D13" s="1" t="s">
        <v>192</v>
      </c>
      <c r="E13" s="1" t="s">
        <v>192</v>
      </c>
    </row>
    <row r="14" customFormat="false" ht="12.8" hidden="false" customHeight="false" outlineLevel="0" collapsed="false">
      <c r="B14" s="1" t="s">
        <v>200</v>
      </c>
      <c r="C14" s="1" t="s">
        <v>192</v>
      </c>
    </row>
    <row r="15" customFormat="false" ht="12.8" hidden="false" customHeight="false" outlineLevel="0" collapsed="false">
      <c r="B15" s="1" t="s">
        <v>201</v>
      </c>
      <c r="C15" s="1" t="s">
        <v>192</v>
      </c>
    </row>
    <row r="16" customFormat="false" ht="12.8" hidden="false" customHeight="false" outlineLevel="0" collapsed="false">
      <c r="B16" s="1" t="s">
        <v>88</v>
      </c>
      <c r="C16" s="1" t="s">
        <v>192</v>
      </c>
      <c r="D16" s="1" t="s">
        <v>192</v>
      </c>
      <c r="E16" s="1" t="s">
        <v>192</v>
      </c>
    </row>
    <row r="19" customFormat="false" ht="12.8" hidden="false" customHeight="false" outlineLevel="0" collapsed="false">
      <c r="B19" s="1" t="s">
        <v>202</v>
      </c>
    </row>
    <row r="20" customFormat="false" ht="12.8" hidden="false" customHeight="false" outlineLevel="0" collapsed="false">
      <c r="C20" s="1" t="s">
        <v>181</v>
      </c>
      <c r="D20" s="1" t="s">
        <v>170</v>
      </c>
      <c r="E20" s="1" t="s">
        <v>182</v>
      </c>
    </row>
    <row r="21" customFormat="false" ht="12.8" hidden="false" customHeight="false" outlineLevel="0" collapsed="false">
      <c r="B21" s="1" t="s">
        <v>203</v>
      </c>
      <c r="E21" s="1" t="n">
        <v>45</v>
      </c>
    </row>
    <row r="22" customFormat="false" ht="12.8" hidden="false" customHeight="false" outlineLevel="0" collapsed="false">
      <c r="B22" s="1" t="s">
        <v>8</v>
      </c>
      <c r="E22" s="1" t="n">
        <v>3419</v>
      </c>
    </row>
    <row r="23" customFormat="false" ht="12.8" hidden="false" customHeight="false" outlineLevel="0" collapsed="false">
      <c r="B23" s="1" t="s">
        <v>204</v>
      </c>
      <c r="E23" s="1" t="n">
        <v>4</v>
      </c>
    </row>
    <row r="25" customFormat="false" ht="12.8" hidden="false" customHeight="false" outlineLevel="0" collapsed="false">
      <c r="B25" s="1" t="s">
        <v>205</v>
      </c>
    </row>
    <row r="26" customFormat="false" ht="12.8" hidden="false" customHeight="false" outlineLevel="0" collapsed="false">
      <c r="B26" s="1" t="s">
        <v>172</v>
      </c>
      <c r="C26" s="5" t="n">
        <v>45291</v>
      </c>
      <c r="D26" s="5" t="n">
        <v>45657</v>
      </c>
    </row>
    <row r="27" customFormat="false" ht="12.8" hidden="false" customHeight="false" outlineLevel="0" collapsed="false">
      <c r="B27" s="1" t="s">
        <v>206</v>
      </c>
      <c r="C27" s="1" t="n">
        <v>2400</v>
      </c>
      <c r="D27" s="1" t="n">
        <v>3800</v>
      </c>
      <c r="E27" s="6" t="s">
        <v>174</v>
      </c>
    </row>
    <row r="28" customFormat="false" ht="12.8" hidden="false" customHeight="false" outlineLevel="0" collapsed="false">
      <c r="B28" s="1" t="s">
        <v>207</v>
      </c>
      <c r="C28" s="1" t="n">
        <v>6700</v>
      </c>
      <c r="D28" s="1" t="n">
        <v>7700</v>
      </c>
      <c r="E28" s="6" t="s">
        <v>174</v>
      </c>
    </row>
    <row r="29" customFormat="false" ht="12.8" hidden="false" customHeight="false" outlineLevel="0" collapsed="false">
      <c r="B29" s="1" t="s">
        <v>208</v>
      </c>
    </row>
    <row r="30" customFormat="false" ht="12.8" hidden="false" customHeight="false" outlineLevel="0" collapsed="false">
      <c r="B30" s="1" t="s">
        <v>209</v>
      </c>
    </row>
    <row r="31" customFormat="false" ht="12.8" hidden="false" customHeight="false" outlineLevel="0" collapsed="false">
      <c r="B31" s="1" t="s">
        <v>210</v>
      </c>
      <c r="C31" s="1" t="n">
        <v>4600</v>
      </c>
      <c r="D31" s="1" t="n">
        <v>5000</v>
      </c>
      <c r="E31" s="6" t="s">
        <v>174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3:F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0" activeCellId="0" sqref="E10"/>
    </sheetView>
  </sheetViews>
  <sheetFormatPr defaultColWidth="8.46484375" defaultRowHeight="12.8" zeroHeight="false" outlineLevelRow="0" outlineLevelCol="0"/>
  <cols>
    <col collapsed="false" customWidth="false" hidden="false" outlineLevel="0" max="3" min="1" style="1" width="8.48"/>
    <col collapsed="false" customWidth="true" hidden="false" outlineLevel="0" max="4" min="4" style="1" width="11.51"/>
    <col collapsed="false" customWidth="false" hidden="false" outlineLevel="0" max="1024" min="5" style="1" width="8.48"/>
  </cols>
  <sheetData>
    <row r="3" customFormat="false" ht="12.8" hidden="false" customHeight="false" outlineLevel="0" collapsed="false">
      <c r="B3" s="1" t="s">
        <v>167</v>
      </c>
      <c r="C3" s="1" t="s">
        <v>211</v>
      </c>
      <c r="D3" s="1" t="s">
        <v>212</v>
      </c>
      <c r="E3" s="1" t="s">
        <v>213</v>
      </c>
      <c r="F3" s="1" t="s">
        <v>214</v>
      </c>
    </row>
    <row r="4" customFormat="false" ht="12.8" hidden="false" customHeight="false" outlineLevel="0" collapsed="false">
      <c r="B4" s="1" t="s">
        <v>182</v>
      </c>
      <c r="C4" s="1" t="s">
        <v>215</v>
      </c>
      <c r="D4" s="1" t="s">
        <v>216</v>
      </c>
      <c r="E4" s="1" t="n">
        <v>250</v>
      </c>
      <c r="F4" s="7" t="n">
        <v>45632</v>
      </c>
    </row>
    <row r="5" customFormat="false" ht="12.8" hidden="false" customHeight="false" outlineLevel="0" collapsed="false">
      <c r="B5" s="1" t="s">
        <v>181</v>
      </c>
      <c r="C5" s="1" t="s">
        <v>215</v>
      </c>
      <c r="D5" s="1" t="s">
        <v>216</v>
      </c>
      <c r="E5" s="1" t="n">
        <v>60</v>
      </c>
      <c r="F5" s="7" t="n">
        <v>45632</v>
      </c>
    </row>
    <row r="6" customFormat="false" ht="12.8" hidden="false" customHeight="false" outlineLevel="0" collapsed="false">
      <c r="B6" s="1" t="s">
        <v>217</v>
      </c>
      <c r="C6" s="1" t="s">
        <v>215</v>
      </c>
      <c r="D6" s="1" t="s">
        <v>216</v>
      </c>
      <c r="E6" s="1" t="n">
        <v>40</v>
      </c>
      <c r="F6" s="7" t="n">
        <v>45632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818</TotalTime>
  <Application>LibreOffice/7.1.5.2$Windows_X86_64 LibreOffice_project/85f04e9f809797b8199d13c421bd8a2b025d52b5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2025-10-17T07:15:48Z</dcterms:created>
  <dc:creator>Skorka, Dawid</dc:creator>
  <dc:description/>
  <dc:language>pl-PL</dc:language>
  <cp:lastModifiedBy/>
  <dcterms:modified xsi:type="dcterms:W3CDTF">2025-10-18T21:00:40Z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